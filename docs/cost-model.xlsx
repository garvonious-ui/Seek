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xed Costs" sheetId="1" state="visible" r:id="rId1"/>
    <sheet xmlns:r="http://schemas.openxmlformats.org/officeDocument/2006/relationships" name="Variable Cost Model" sheetId="2" state="visible" r:id="rId2"/>
    <sheet xmlns:r="http://schemas.openxmlformats.org/officeDocument/2006/relationships" name="Scenar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;($#,##0);-"/>
    <numFmt numFmtId="165" formatCode="$#,##0.00;($#,##0.00);-"/>
    <numFmt numFmtId="166" formatCode="#,##0;(#,##0);-"/>
    <numFmt numFmtId="167" formatCode="0.0%;(0.0%);-"/>
    <numFmt numFmtId="168" formatCode="0.0"/>
    <numFmt numFmtId="169" formatCode="$#,##0.00000;($#,##0.00000);-"/>
    <numFmt numFmtId="170" formatCode="$#,##0.0000;($#,##0.0000);-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i val="1"/>
      <color rgb="006B7280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color rgb="00008000"/>
      <sz val="10"/>
    </font>
  </fonts>
  <fills count="4">
    <fill>
      <patternFill/>
    </fill>
    <fill>
      <patternFill patternType="gray125"/>
    </fill>
    <fill>
      <patternFill patternType="solid">
        <fgColor rgb="005B7B5E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right"/>
    </xf>
    <xf numFmtId="0" fontId="4" fillId="0" borderId="0" pivotButton="0" quotePrefix="0" xfId="0"/>
    <xf numFmtId="164" fontId="5" fillId="0" borderId="0" pivotButton="0" quotePrefix="0" xfId="0"/>
    <xf numFmtId="165" fontId="4" fillId="0" borderId="0" pivotButton="0" quotePrefix="0" xfId="0"/>
    <xf numFmtId="0" fontId="6" fillId="0" borderId="0" pivotButton="0" quotePrefix="0" xfId="0"/>
    <xf numFmtId="164" fontId="6" fillId="0" borderId="0" pivotButton="0" quotePrefix="0" xfId="0"/>
    <xf numFmtId="165" fontId="6" fillId="0" borderId="0" pivotButton="0" quotePrefix="0" xfId="0"/>
    <xf numFmtId="0" fontId="3" fillId="2" borderId="0" pivotButton="0" quotePrefix="0" xfId="0"/>
    <xf numFmtId="166" fontId="5" fillId="3" borderId="0" applyAlignment="1" pivotButton="0" quotePrefix="0" xfId="0">
      <alignment horizontal="right"/>
    </xf>
    <xf numFmtId="167" fontId="5" fillId="0" borderId="0" applyAlignment="1" pivotButton="0" quotePrefix="0" xfId="0">
      <alignment horizontal="right"/>
    </xf>
    <xf numFmtId="168" fontId="5" fillId="0" borderId="0" applyAlignment="1" pivotButton="0" quotePrefix="0" xfId="0">
      <alignment horizontal="right"/>
    </xf>
    <xf numFmtId="166" fontId="5" fillId="0" borderId="0" applyAlignment="1" pivotButton="0" quotePrefix="0" xfId="0">
      <alignment horizontal="right"/>
    </xf>
    <xf numFmtId="166" fontId="4" fillId="0" borderId="0" applyAlignment="1" pivotButton="0" quotePrefix="0" xfId="0">
      <alignment horizontal="right"/>
    </xf>
    <xf numFmtId="165" fontId="5" fillId="0" borderId="0" applyAlignment="1" pivotButton="0" quotePrefix="0" xfId="0">
      <alignment horizontal="right"/>
    </xf>
    <xf numFmtId="1" fontId="5" fillId="0" borderId="0" applyAlignment="1" pivotButton="0" quotePrefix="0" xfId="0">
      <alignment horizontal="right"/>
    </xf>
    <xf numFmtId="169" fontId="4" fillId="0" borderId="0" applyAlignment="1" pivotButton="0" quotePrefix="0" xfId="0">
      <alignment horizontal="right"/>
    </xf>
    <xf numFmtId="169" fontId="6" fillId="0" borderId="0" applyAlignment="1" pivotButton="0" quotePrefix="0" xfId="0">
      <alignment horizontal="right"/>
    </xf>
    <xf numFmtId="165" fontId="6" fillId="0" borderId="0" applyAlignment="1" pivotButton="0" quotePrefix="0" xfId="0">
      <alignment horizontal="right"/>
    </xf>
    <xf numFmtId="169" fontId="5" fillId="0" borderId="0" applyAlignment="1" pivotButton="0" quotePrefix="0" xfId="0">
      <alignment horizontal="right"/>
    </xf>
    <xf numFmtId="49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7" fillId="0" borderId="0" applyAlignment="1" pivotButton="0" quotePrefix="0" xfId="0">
      <alignment horizontal="right"/>
    </xf>
    <xf numFmtId="170" fontId="4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66" fontId="7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62" customWidth="1" min="4" max="4"/>
  </cols>
  <sheetData>
    <row r="1">
      <c r="A1" s="1" t="inlineStr">
        <is>
          <t>Seek — Fixed Monthly Costs</t>
        </is>
      </c>
    </row>
    <row r="2">
      <c r="A2" s="2" t="inlineStr">
        <is>
          <t>Last updated: 2026-05-01. Blue cells are editable inputs.</t>
        </is>
      </c>
    </row>
    <row r="4">
      <c r="A4" s="3" t="inlineStr">
        <is>
          <t>Item</t>
        </is>
      </c>
      <c r="B4" s="4" t="inlineStr">
        <is>
          <t>Annual ($)</t>
        </is>
      </c>
      <c r="C4" s="4" t="inlineStr">
        <is>
          <t>Monthly ($)</t>
        </is>
      </c>
      <c r="D4" s="3" t="inlineStr">
        <is>
          <t>Notes</t>
        </is>
      </c>
    </row>
    <row r="5">
      <c r="A5" s="5" t="inlineStr">
        <is>
          <t>Apple Developer Program</t>
        </is>
      </c>
      <c r="B5" s="6" t="n">
        <v>99</v>
      </c>
      <c r="C5" s="7">
        <f>B5/12</f>
        <v/>
      </c>
      <c r="D5" s="2" t="inlineStr">
        <is>
          <t>Required for App Store distribution + future APNs key</t>
        </is>
      </c>
    </row>
    <row r="6">
      <c r="A6" s="5" t="inlineStr">
        <is>
          <t>Domain (askseekpray.app)</t>
        </is>
      </c>
      <c r="B6" s="6" t="n">
        <v>20</v>
      </c>
      <c r="C6" s="7">
        <f>B6/12</f>
        <v/>
      </c>
      <c r="D6" s="2" t="inlineStr">
        <is>
          <t>GoDaddy renewal — .app TLD</t>
        </is>
      </c>
    </row>
    <row r="7">
      <c r="A7" s="5" t="inlineStr">
        <is>
          <t>GitHub</t>
        </is>
      </c>
      <c r="B7" s="6" t="n">
        <v>0</v>
      </c>
      <c r="C7" s="7">
        <f>B7/12</f>
        <v/>
      </c>
      <c r="D7" s="2" t="inlineStr">
        <is>
          <t>Free — public repo at github.com/garvonious-ui/Seek</t>
        </is>
      </c>
    </row>
    <row r="8">
      <c r="A8" s="5" t="inlineStr">
        <is>
          <t>Vercel (landing page)</t>
        </is>
      </c>
      <c r="B8" s="6" t="n">
        <v>0</v>
      </c>
      <c r="C8" s="7">
        <f>B8/12</f>
        <v/>
      </c>
      <c r="D8" s="2" t="inlineStr">
        <is>
          <t>Free Hobby tier — well within bandwidth limits</t>
        </is>
      </c>
    </row>
    <row r="9">
      <c r="A9" s="5" t="inlineStr">
        <is>
          <t>Supabase (base)</t>
        </is>
      </c>
      <c r="B9" s="6" t="n">
        <v>0</v>
      </c>
      <c r="C9" s="7">
        <f>B9/12</f>
        <v/>
      </c>
      <c r="D9" s="2" t="inlineStr">
        <is>
          <t>See "Variable Cost Model" — Free until ~8K MAU, $25/mo Pro after</t>
        </is>
      </c>
    </row>
    <row r="10">
      <c r="A10" s="5" t="inlineStr">
        <is>
          <t>Anthropic API (base)</t>
        </is>
      </c>
      <c r="B10" s="6" t="n">
        <v>0</v>
      </c>
      <c r="C10" s="7">
        <f>B10/12</f>
        <v/>
      </c>
      <c r="D10" s="2" t="inlineStr">
        <is>
          <t>See "Variable Cost Model" — pure usage-based, no minimum</t>
        </is>
      </c>
    </row>
    <row r="11">
      <c r="A11" s="5" t="inlineStr">
        <is>
          <t>Stripe (base)</t>
        </is>
      </c>
      <c r="B11" s="6" t="n">
        <v>0</v>
      </c>
      <c r="C11" s="7">
        <f>B11/12</f>
        <v/>
      </c>
      <c r="D11" s="2" t="inlineStr">
        <is>
          <t>See "Variable Cost Model" — 2.9% + $0.30 per donation, no monthly</t>
        </is>
      </c>
    </row>
    <row r="12">
      <c r="A12" s="5" t="inlineStr">
        <is>
          <t>Resend (transactional email)</t>
        </is>
      </c>
      <c r="B12" s="6" t="n">
        <v>0</v>
      </c>
      <c r="C12" s="7">
        <f>B12/12</f>
        <v/>
      </c>
      <c r="D12" s="2" t="inlineStr">
        <is>
          <t>Free tier covers 3K emails/mo — enough for years</t>
        </is>
      </c>
    </row>
    <row r="13">
      <c r="A13" s="5" t="inlineStr">
        <is>
          <t>Google Workspace (email)</t>
        </is>
      </c>
      <c r="B13" s="6" t="n">
        <v>192</v>
      </c>
      <c r="C13" s="7">
        <f>B13/12</f>
        <v/>
      </c>
      <c r="D13" s="2" t="inlineStr">
        <is>
          <t>$16/mo — hello@askseekpray.app + admin</t>
        </is>
      </c>
    </row>
    <row r="14">
      <c r="A14" s="8" t="n"/>
      <c r="B14" s="9" t="n"/>
      <c r="C14" s="10" t="n"/>
    </row>
    <row r="15">
      <c r="A15" s="8" t="inlineStr">
        <is>
          <t>Total Fixed</t>
        </is>
      </c>
      <c r="B15" s="9">
        <f>SUM(B5:B13)</f>
        <v/>
      </c>
      <c r="C15" s="10">
        <f>SUM(C5:C13)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30" customWidth="1" min="3" max="3"/>
    <col width="35" customWidth="1" min="4" max="4"/>
  </cols>
  <sheetData>
    <row r="1">
      <c r="A1" s="1" t="inlineStr">
        <is>
          <t>Seek — Variable Cost Model (per month)</t>
        </is>
      </c>
    </row>
    <row r="2">
      <c r="A2" s="2" t="inlineStr">
        <is>
          <t>Blue = inputs you can tweak. Black = formulas. Yellow = key assumption — revisit when real data lands.</t>
        </is>
      </c>
    </row>
    <row r="4">
      <c r="A4" s="11" t="inlineStr">
        <is>
          <t>USAGE INPUTS</t>
        </is>
      </c>
    </row>
    <row r="5">
      <c r="A5" s="5" t="inlineStr">
        <is>
          <t>Monthly Active Users (MAU)</t>
        </is>
      </c>
      <c r="B5" s="12" t="n">
        <v>1000</v>
      </c>
      <c r="C5" s="2" t="inlineStr">
        <is>
          <t>Tweak this to model different scales</t>
        </is>
      </c>
    </row>
    <row r="6">
      <c r="A6" s="5" t="inlineStr">
        <is>
          <t>DAU / MAU ratio</t>
        </is>
      </c>
      <c r="B6" s="13" t="n">
        <v>0.3</v>
      </c>
      <c r="C6" s="2" t="inlineStr">
        <is>
          <t>Industry: 20-40% for engaged faith / wellness apps</t>
        </is>
      </c>
    </row>
    <row r="7">
      <c r="A7" s="5" t="inlineStr">
        <is>
          <t>Avg chats per DAU per day</t>
        </is>
      </c>
      <c r="B7" s="14" t="n">
        <v>1.5</v>
      </c>
      <c r="C7" s="2" t="inlineStr">
        <is>
          <t>Most users send &lt;2; power users hit 50/day cap</t>
        </is>
      </c>
    </row>
    <row r="8">
      <c r="A8" s="5" t="inlineStr">
        <is>
          <t>Daily verse views per MAU per month</t>
        </is>
      </c>
      <c r="B8" s="15" t="n">
        <v>18</v>
      </c>
      <c r="C8" s="2" t="inlineStr">
        <is>
          <t>Avg user opens app ~18 days/mo and views daily verse</t>
        </is>
      </c>
    </row>
    <row r="10">
      <c r="A10" s="11" t="inlineStr">
        <is>
          <t>DERIVED USAGE</t>
        </is>
      </c>
    </row>
    <row r="11">
      <c r="A11" s="5" t="inlineStr">
        <is>
          <t>DAU</t>
        </is>
      </c>
      <c r="B11" s="16">
        <f>B5*B6</f>
        <v/>
      </c>
    </row>
    <row r="12">
      <c r="A12" s="5" t="inlineStr">
        <is>
          <t>Total chats per month</t>
        </is>
      </c>
      <c r="B12" s="16">
        <f>B11*B7*30</f>
        <v/>
      </c>
      <c r="C12" s="2" t="inlineStr">
        <is>
          <t>DAU × chats/day × 30</t>
        </is>
      </c>
    </row>
    <row r="13">
      <c r="A13" s="5" t="inlineStr">
        <is>
          <t>Edge Function invocations / month</t>
        </is>
      </c>
      <c r="B13" s="16">
        <f>B12+(B5*B8)</f>
        <v/>
      </c>
      <c r="C13" s="2" t="inlineStr">
        <is>
          <t>chats + daily-verse views</t>
        </is>
      </c>
    </row>
    <row r="15">
      <c r="A15" s="11" t="inlineStr">
        <is>
          <t>ANTHROPIC CLAUDE API (claude-sonnet-4-6)</t>
        </is>
      </c>
    </row>
    <row r="16">
      <c r="A16" s="5" t="inlineStr">
        <is>
          <t>System prompt tokens (per chat)</t>
        </is>
      </c>
      <c r="B16" s="15" t="n">
        <v>1800</v>
      </c>
      <c r="C16" s="2" t="inlineStr">
        <is>
          <t>Approximate; system prompt in chat/index.ts</t>
        </is>
      </c>
    </row>
    <row r="17">
      <c r="A17" s="5" t="inlineStr">
        <is>
          <t>Avg fresh input tokens per chat</t>
        </is>
      </c>
      <c r="B17" s="15" t="n">
        <v>750</v>
      </c>
      <c r="C17" s="2" t="inlineStr">
        <is>
          <t>User message + conversation history</t>
        </is>
      </c>
    </row>
    <row r="18">
      <c r="A18" s="5" t="inlineStr">
        <is>
          <t>Avg output tokens per chat</t>
        </is>
      </c>
      <c r="B18" s="15" t="n">
        <v>2000</v>
      </c>
      <c r="C18" s="2" t="inlineStr">
        <is>
          <t>Cap is 3000; full responses run 1500-2500</t>
        </is>
      </c>
    </row>
    <row r="19">
      <c r="A19" s="5" t="inlineStr">
        <is>
          <t>Input price per 1M tokens</t>
        </is>
      </c>
      <c r="B19" s="17" t="n">
        <v>3</v>
      </c>
      <c r="C19" s="2" t="inlineStr">
        <is>
          <t>Sonnet 4.6 standard input pricing</t>
        </is>
      </c>
    </row>
    <row r="20">
      <c r="A20" s="5" t="inlineStr">
        <is>
          <t>Output price per 1M tokens</t>
        </is>
      </c>
      <c r="B20" s="17" t="n">
        <v>15</v>
      </c>
      <c r="C20" s="2" t="inlineStr">
        <is>
          <t>Sonnet 4.6 standard output pricing</t>
        </is>
      </c>
    </row>
    <row r="21">
      <c r="A21" s="5" t="inlineStr">
        <is>
          <t>Cached input price per 1M tokens</t>
        </is>
      </c>
      <c r="B21" s="17" t="n">
        <v>0.3</v>
      </c>
      <c r="C21" s="2" t="inlineStr">
        <is>
          <t>10% of input — when prompt caching is enabled</t>
        </is>
      </c>
    </row>
    <row r="22">
      <c r="A22" s="5" t="inlineStr">
        <is>
          <t>Prompt caching enabled? (1=yes, 0=no)</t>
        </is>
      </c>
      <c r="B22" s="18" t="n">
        <v>0</v>
      </c>
      <c r="C22" s="2" t="inlineStr">
        <is>
          <t>Set to 1 if caching is wired in chat Edge Function</t>
        </is>
      </c>
    </row>
    <row r="24">
      <c r="A24" s="5" t="inlineStr">
        <is>
          <t>Per-chat input cost</t>
        </is>
      </c>
      <c r="B24" s="19">
        <f>IF(B22=1, (B16*B21+B17*B19)/1000000, (B16+B17)*B19/1000000)</f>
        <v/>
      </c>
      <c r="C24" s="2" t="inlineStr">
        <is>
          <t>Caching cuts system-prompt cost ~10x</t>
        </is>
      </c>
    </row>
    <row r="25">
      <c r="A25" s="5" t="inlineStr">
        <is>
          <t>Per-chat output cost</t>
        </is>
      </c>
      <c r="B25" s="19">
        <f>B18*B20/1000000</f>
        <v/>
      </c>
    </row>
    <row r="26">
      <c r="A26" s="8" t="inlineStr">
        <is>
          <t>Total cost per chat</t>
        </is>
      </c>
      <c r="B26" s="20">
        <f>B24+B25</f>
        <v/>
      </c>
    </row>
    <row r="27">
      <c r="A27" s="8" t="inlineStr">
        <is>
          <t>Monthly Claude cost</t>
        </is>
      </c>
      <c r="B27" s="21">
        <f>B26*B12</f>
        <v/>
      </c>
    </row>
    <row r="29">
      <c r="A29" s="11" t="inlineStr">
        <is>
          <t>SUPABASE</t>
        </is>
      </c>
    </row>
    <row r="30">
      <c r="A30" s="5" t="inlineStr">
        <is>
          <t>Free tier MAU cap</t>
        </is>
      </c>
      <c r="B30" s="15" t="n">
        <v>50000</v>
      </c>
      <c r="C30" s="2" t="inlineStr">
        <is>
          <t>50K MAU on Free</t>
        </is>
      </c>
    </row>
    <row r="31">
      <c r="A31" s="5" t="inlineStr">
        <is>
          <t>Free tier EF invocations cap</t>
        </is>
      </c>
      <c r="B31" s="15" t="n">
        <v>500000</v>
      </c>
      <c r="C31" s="2" t="inlineStr">
        <is>
          <t>500K Edge Function invocations / mo on Free</t>
        </is>
      </c>
    </row>
    <row r="32">
      <c r="A32" s="5" t="inlineStr">
        <is>
          <t>Pro tier base price ($/mo)</t>
        </is>
      </c>
      <c r="B32" s="17" t="n">
        <v>25</v>
      </c>
      <c r="C32" s="2" t="inlineStr">
        <is>
          <t>$25/mo flat</t>
        </is>
      </c>
    </row>
    <row r="33">
      <c r="A33" s="5" t="inlineStr">
        <is>
          <t>Pro tier MAU included</t>
        </is>
      </c>
      <c r="B33" s="15" t="n">
        <v>100000</v>
      </c>
      <c r="C33" s="2" t="inlineStr">
        <is>
          <t>100K MAU included</t>
        </is>
      </c>
    </row>
    <row r="34">
      <c r="A34" s="5" t="inlineStr">
        <is>
          <t>Pro tier MAU overage rate</t>
        </is>
      </c>
      <c r="B34" s="22" t="n">
        <v>0.00325</v>
      </c>
      <c r="C34" s="2" t="inlineStr">
        <is>
          <t>$0.00325 per MAU above 100K</t>
        </is>
      </c>
    </row>
    <row r="35">
      <c r="A35" s="5" t="inlineStr">
        <is>
          <t>Pro tier EF included</t>
        </is>
      </c>
      <c r="B35" s="15" t="n">
        <v>2000000</v>
      </c>
      <c r="C35" s="2" t="inlineStr">
        <is>
          <t>2M EF invocations included</t>
        </is>
      </c>
    </row>
    <row r="36">
      <c r="A36" s="5" t="inlineStr">
        <is>
          <t>Pro tier EF overage per 1M</t>
        </is>
      </c>
      <c r="B36" s="17" t="n">
        <v>2</v>
      </c>
      <c r="C36" s="2" t="inlineStr">
        <is>
          <t>$2 per 1M extra Edge Function invocations</t>
        </is>
      </c>
    </row>
    <row r="38">
      <c r="A38" s="5" t="inlineStr">
        <is>
          <t>Tier required</t>
        </is>
      </c>
      <c r="B38" s="23">
        <f>IF(AND(B5&lt;=B30, B13&lt;=B31), "Free", "Pro")</f>
        <v/>
      </c>
      <c r="C38" s="2" t="inlineStr">
        <is>
          <t>Auto-flips when EF cap or MAU cap is hit</t>
        </is>
      </c>
    </row>
    <row r="39">
      <c r="A39" s="8" t="inlineStr">
        <is>
          <t>Supabase monthly cost</t>
        </is>
      </c>
      <c r="B39" s="21">
        <f>IF(B38="Free", 0, B32 + MAX(0, B5-B33)*B34 + MAX(0, (B13-B35)/1000000)*B36)</f>
        <v/>
      </c>
    </row>
    <row r="41">
      <c r="A41" s="11" t="inlineStr">
        <is>
          <t>DONATIONS &amp; STRIPE FEES</t>
        </is>
      </c>
    </row>
    <row r="42">
      <c r="A42" s="5" t="inlineStr">
        <is>
          <t>% of MAU who donate / month</t>
        </is>
      </c>
      <c r="B42" s="13" t="n">
        <v>0.005</v>
      </c>
      <c r="C42" s="2" t="inlineStr">
        <is>
          <t>0.5% is realistic with no nag; nudge card may push higher</t>
        </is>
      </c>
    </row>
    <row r="43">
      <c r="A43" s="5" t="inlineStr">
        <is>
          <t>Avg donation amount ($)</t>
        </is>
      </c>
      <c r="B43" s="17" t="n">
        <v>25</v>
      </c>
      <c r="C43" s="2" t="inlineStr">
        <is>
          <t>Weighted by preset distribution ($10/$25/$50/$100/$250/$500)</t>
        </is>
      </c>
    </row>
    <row r="44">
      <c r="A44" s="5" t="inlineStr">
        <is>
          <t>Stripe fee %</t>
        </is>
      </c>
      <c r="B44" s="13" t="n">
        <v>0.029</v>
      </c>
      <c r="C44" s="2" t="inlineStr">
        <is>
          <t>2.9% standard for cards</t>
        </is>
      </c>
    </row>
    <row r="45">
      <c r="A45" s="5" t="inlineStr">
        <is>
          <t>Stripe fixed fee per txn ($)</t>
        </is>
      </c>
      <c r="B45" s="17" t="n">
        <v>0.3</v>
      </c>
      <c r="C45" s="2" t="inlineStr">
        <is>
          <t>$0.30 per transaction</t>
        </is>
      </c>
    </row>
    <row r="47">
      <c r="A47" s="5" t="inlineStr">
        <is>
          <t>Donating users / month</t>
        </is>
      </c>
      <c r="B47" s="16">
        <f>B5*B42</f>
        <v/>
      </c>
    </row>
    <row r="48">
      <c r="A48" s="5" t="inlineStr">
        <is>
          <t>Gross donation revenue</t>
        </is>
      </c>
      <c r="B48" s="24">
        <f>B47*B43</f>
        <v/>
      </c>
    </row>
    <row r="49">
      <c r="A49" s="5" t="inlineStr">
        <is>
          <t>Stripe fees</t>
        </is>
      </c>
      <c r="B49" s="24">
        <f>B48*B44+B47*B45</f>
        <v/>
      </c>
    </row>
    <row r="50">
      <c r="A50" s="8" t="inlineStr">
        <is>
          <t>Net donation revenue</t>
        </is>
      </c>
      <c r="B50" s="21">
        <f>B48-B49</f>
        <v/>
      </c>
    </row>
    <row r="52">
      <c r="A52" s="11" t="inlineStr">
        <is>
          <t>MONTHLY TOTAL</t>
        </is>
      </c>
    </row>
    <row r="53">
      <c r="A53" s="5" t="inlineStr">
        <is>
          <t>Fixed costs</t>
        </is>
      </c>
      <c r="B53" s="25">
        <f>'Fixed Costs'!C15</f>
        <v/>
      </c>
    </row>
    <row r="54">
      <c r="A54" s="5" t="inlineStr">
        <is>
          <t>Anthropic Claude API</t>
        </is>
      </c>
      <c r="B54" s="24">
        <f>B27</f>
        <v/>
      </c>
    </row>
    <row r="55">
      <c r="A55" s="5" t="inlineStr">
        <is>
          <t>Supabase</t>
        </is>
      </c>
      <c r="B55" s="24">
        <f>B39</f>
        <v/>
      </c>
    </row>
    <row r="56">
      <c r="A56" s="5" t="inlineStr">
        <is>
          <t>Stripe fees on donations</t>
        </is>
      </c>
      <c r="B56" s="24">
        <f>B49</f>
        <v/>
      </c>
    </row>
    <row r="57">
      <c r="A57" s="8" t="inlineStr">
        <is>
          <t>TOTAL MONTHLY COST</t>
        </is>
      </c>
      <c r="B57" s="21">
        <f>SUM(B53:B56)</f>
        <v/>
      </c>
    </row>
    <row r="59">
      <c r="A59" s="5" t="inlineStr">
        <is>
          <t>Net donation revenue</t>
        </is>
      </c>
      <c r="B59" s="24">
        <f>B50</f>
        <v/>
      </c>
    </row>
    <row r="60">
      <c r="A60" s="8" t="inlineStr">
        <is>
          <t>NET MONTHLY (cost − donations)</t>
        </is>
      </c>
      <c r="B60" s="21">
        <f>B57-B50</f>
        <v/>
      </c>
      <c r="C60" s="2" t="inlineStr">
        <is>
          <t>Negative = donations cover costs</t>
        </is>
      </c>
    </row>
    <row r="62">
      <c r="A62" s="5" t="inlineStr">
        <is>
          <t>Cost per MAU</t>
        </is>
      </c>
      <c r="B62" s="26">
        <f>IF(B5&gt;0, B57/B5, 0)</f>
        <v/>
      </c>
      <c r="C62" s="2" t="inlineStr">
        <is>
          <t>Useful unit-economics check</t>
        </is>
      </c>
    </row>
    <row r="63">
      <c r="A63" s="5" t="inlineStr">
        <is>
          <t>Net cost per MAU</t>
        </is>
      </c>
      <c r="B63" s="26">
        <f>IF(B5&gt;0, (B57-B50)/B5, 0)</f>
        <v/>
      </c>
    </row>
    <row r="64">
      <c r="A64" s="5" t="inlineStr">
        <is>
          <t>Annualized total cost</t>
        </is>
      </c>
      <c r="B64" s="24">
        <f>B57*12</f>
        <v/>
      </c>
    </row>
  </sheetData>
  <mergeCells count="36">
    <mergeCell ref="C34:D34"/>
    <mergeCell ref="C6:D6"/>
    <mergeCell ref="C24:D24"/>
    <mergeCell ref="C30:D30"/>
    <mergeCell ref="C62:D62"/>
    <mergeCell ref="C33:D33"/>
    <mergeCell ref="A4:D4"/>
    <mergeCell ref="C5:D5"/>
    <mergeCell ref="C42:D42"/>
    <mergeCell ref="A29:D29"/>
    <mergeCell ref="C45:D45"/>
    <mergeCell ref="A52:D52"/>
    <mergeCell ref="A10:D10"/>
    <mergeCell ref="C35:D35"/>
    <mergeCell ref="C20:D20"/>
    <mergeCell ref="C16:D16"/>
    <mergeCell ref="A15:D15"/>
    <mergeCell ref="C44:D44"/>
    <mergeCell ref="C22:D22"/>
    <mergeCell ref="C31:D31"/>
    <mergeCell ref="A1:D1"/>
    <mergeCell ref="C12:D12"/>
    <mergeCell ref="C43:D43"/>
    <mergeCell ref="C21:D21"/>
    <mergeCell ref="C60:D60"/>
    <mergeCell ref="C36:D36"/>
    <mergeCell ref="A41:D41"/>
    <mergeCell ref="C17:D17"/>
    <mergeCell ref="C8:D8"/>
    <mergeCell ref="C32:D32"/>
    <mergeCell ref="C7:D7"/>
    <mergeCell ref="C38:D38"/>
    <mergeCell ref="C19:D19"/>
    <mergeCell ref="C13:D13"/>
    <mergeCell ref="A2:D2"/>
    <mergeCell ref="C18:D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38" customWidth="1" min="6" max="6"/>
  </cols>
  <sheetData>
    <row r="1">
      <c r="A1" s="1" t="inlineStr">
        <is>
          <t>Seek — Cost Scenarios at Different Scales</t>
        </is>
      </c>
    </row>
    <row r="2">
      <c r="A2" s="2" t="inlineStr">
        <is>
          <t>All assumptions pull from 'Variable Cost Model' (green text). Edit MAU per column in row 5.</t>
        </is>
      </c>
    </row>
    <row r="4">
      <c r="A4" s="11" t="inlineStr">
        <is>
          <t>Scenario</t>
        </is>
      </c>
      <c r="B4" s="27" t="inlineStr">
        <is>
          <t>Pre-launch</t>
        </is>
      </c>
      <c r="C4" s="27" t="inlineStr">
        <is>
          <t>Early traction</t>
        </is>
      </c>
      <c r="D4" s="27" t="inlineStr">
        <is>
          <t>Growing</t>
        </is>
      </c>
      <c r="E4" s="27" t="inlineStr">
        <is>
          <t>Successful</t>
        </is>
      </c>
      <c r="F4" s="11" t="inlineStr">
        <is>
          <t>Notes</t>
        </is>
      </c>
    </row>
    <row r="5">
      <c r="A5" s="8" t="inlineStr">
        <is>
          <t>Monthly Active Users</t>
        </is>
      </c>
      <c r="B5" s="12" t="n">
        <v>100</v>
      </c>
      <c r="C5" s="12" t="n">
        <v>1000</v>
      </c>
      <c r="D5" s="12" t="n">
        <v>10000</v>
      </c>
      <c r="E5" s="12" t="n">
        <v>50000</v>
      </c>
    </row>
    <row r="7">
      <c r="A7" s="11" t="inlineStr">
        <is>
          <t>USAGE</t>
        </is>
      </c>
    </row>
    <row r="8">
      <c r="A8" s="5" t="inlineStr">
        <is>
          <t>DAU</t>
        </is>
      </c>
      <c r="B8" s="28">
        <f>ROUND(B5*'Variable Cost Model'!$B$6,0)</f>
        <v/>
      </c>
      <c r="C8" s="28">
        <f>ROUND(C5*'Variable Cost Model'!$B$6,0)</f>
        <v/>
      </c>
      <c r="D8" s="28">
        <f>ROUND(D5*'Variable Cost Model'!$B$6,0)</f>
        <v/>
      </c>
      <c r="E8" s="28">
        <f>ROUND(E5*'Variable Cost Model'!$B$6,0)</f>
        <v/>
      </c>
      <c r="F8" s="2" t="inlineStr">
        <is>
          <t>MAU × DAU/MAU ratio (from Variable Cost Model)</t>
        </is>
      </c>
    </row>
    <row r="9">
      <c r="A9" s="5" t="inlineStr">
        <is>
          <t>Chats per month</t>
        </is>
      </c>
      <c r="B9" s="28">
        <f>ROUND(B8*'Variable Cost Model'!$B$7*30,0)</f>
        <v/>
      </c>
      <c r="C9" s="28">
        <f>ROUND(C8*'Variable Cost Model'!$B$7*30,0)</f>
        <v/>
      </c>
      <c r="D9" s="28">
        <f>ROUND(D8*'Variable Cost Model'!$B$7*30,0)</f>
        <v/>
      </c>
      <c r="E9" s="28">
        <f>ROUND(E8*'Variable Cost Model'!$B$7*30,0)</f>
        <v/>
      </c>
      <c r="F9" s="2" t="inlineStr">
        <is>
          <t>DAU × chats/day × 30</t>
        </is>
      </c>
    </row>
    <row r="10">
      <c r="A10" s="5" t="inlineStr">
        <is>
          <t>Edge Function invocations</t>
        </is>
      </c>
      <c r="B10" s="28">
        <f>ROUND(B9 + B5*'Variable Cost Model'!$B$8, 0)</f>
        <v/>
      </c>
      <c r="C10" s="28">
        <f>ROUND(C9 + C5*'Variable Cost Model'!$B$8, 0)</f>
        <v/>
      </c>
      <c r="D10" s="28">
        <f>ROUND(D9 + D5*'Variable Cost Model'!$B$8, 0)</f>
        <v/>
      </c>
      <c r="E10" s="28">
        <f>ROUND(E9 + E5*'Variable Cost Model'!$B$8, 0)</f>
        <v/>
      </c>
      <c r="F10" s="2" t="inlineStr">
        <is>
          <t>chats + daily-verse views</t>
        </is>
      </c>
    </row>
    <row r="12">
      <c r="A12" s="11" t="inlineStr">
        <is>
          <t>MONTHLY COSTS</t>
        </is>
      </c>
    </row>
    <row r="13">
      <c r="A13" s="5" t="inlineStr">
        <is>
          <t>Fixed costs</t>
        </is>
      </c>
      <c r="B13" s="25">
        <f>'Fixed Costs'!$C$15</f>
        <v/>
      </c>
      <c r="C13" s="25">
        <f>'Fixed Costs'!$C$15</f>
        <v/>
      </c>
      <c r="D13" s="25">
        <f>'Fixed Costs'!$C$15</f>
        <v/>
      </c>
      <c r="E13" s="25">
        <f>'Fixed Costs'!$C$15</f>
        <v/>
      </c>
      <c r="F13" s="2" t="inlineStr">
        <is>
          <t>Apple Dev + domain</t>
        </is>
      </c>
    </row>
    <row r="14">
      <c r="A14" s="5" t="inlineStr">
        <is>
          <t>Anthropic Claude API</t>
        </is>
      </c>
      <c r="B14" s="25">
        <f>B9 * 'Variable Cost Model'!$B$26</f>
        <v/>
      </c>
      <c r="C14" s="25">
        <f>C9 * 'Variable Cost Model'!$B$26</f>
        <v/>
      </c>
      <c r="D14" s="25">
        <f>D9 * 'Variable Cost Model'!$B$26</f>
        <v/>
      </c>
      <c r="E14" s="25">
        <f>E9 * 'Variable Cost Model'!$B$26</f>
        <v/>
      </c>
      <c r="F14" s="2" t="inlineStr">
        <is>
          <t>chats × cost-per-chat</t>
        </is>
      </c>
    </row>
    <row r="15">
      <c r="A15" s="5" t="inlineStr">
        <is>
          <t>Supabase</t>
        </is>
      </c>
      <c r="B15" s="25">
        <f>IF(AND(B5&lt;='Variable Cost Model'!$B$30, B10&lt;='Variable Cost Model'!$B$31), 0, 'Variable Cost Model'!$B$32 + MAX(0, B5-'Variable Cost Model'!$B$33)*'Variable Cost Model'!$B$34 + MAX(0, (B10-'Variable Cost Model'!$B$35)/1000000)*'Variable Cost Model'!$B$36)</f>
        <v/>
      </c>
      <c r="C15" s="25">
        <f>IF(AND(C5&lt;='Variable Cost Model'!$B$30, C10&lt;='Variable Cost Model'!$B$31), 0, 'Variable Cost Model'!$B$32 + MAX(0, C5-'Variable Cost Model'!$B$33)*'Variable Cost Model'!$B$34 + MAX(0, (C10-'Variable Cost Model'!$B$35)/1000000)*'Variable Cost Model'!$B$36)</f>
        <v/>
      </c>
      <c r="D15" s="25">
        <f>IF(AND(D5&lt;='Variable Cost Model'!$B$30, D10&lt;='Variable Cost Model'!$B$31), 0, 'Variable Cost Model'!$B$32 + MAX(0, D5-'Variable Cost Model'!$B$33)*'Variable Cost Model'!$B$34 + MAX(0, (D10-'Variable Cost Model'!$B$35)/1000000)*'Variable Cost Model'!$B$36)</f>
        <v/>
      </c>
      <c r="E15" s="25">
        <f>IF(AND(E5&lt;='Variable Cost Model'!$B$30, E10&lt;='Variable Cost Model'!$B$31), 0, 'Variable Cost Model'!$B$32 + MAX(0, E5-'Variable Cost Model'!$B$33)*'Variable Cost Model'!$B$34 + MAX(0, (E10-'Variable Cost Model'!$B$35)/1000000)*'Variable Cost Model'!$B$36)</f>
        <v/>
      </c>
      <c r="F15" s="2" t="inlineStr">
        <is>
          <t>Free until MAU or EF cap hit; then $25 + overage</t>
        </is>
      </c>
    </row>
    <row r="16">
      <c r="A16" s="5" t="inlineStr">
        <is>
          <t>Stripe fees</t>
        </is>
      </c>
      <c r="B16" s="25">
        <f>(B5*'Variable Cost Model'!$B$42*'Variable Cost Model'!$B$43)*'Variable Cost Model'!$B$44 + (B5*'Variable Cost Model'!$B$42)*'Variable Cost Model'!$B$45</f>
        <v/>
      </c>
      <c r="C16" s="25">
        <f>(C5*'Variable Cost Model'!$B$42*'Variable Cost Model'!$B$43)*'Variable Cost Model'!$B$44 + (C5*'Variable Cost Model'!$B$42)*'Variable Cost Model'!$B$45</f>
        <v/>
      </c>
      <c r="D16" s="25">
        <f>(D5*'Variable Cost Model'!$B$42*'Variable Cost Model'!$B$43)*'Variable Cost Model'!$B$44 + (D5*'Variable Cost Model'!$B$42)*'Variable Cost Model'!$B$45</f>
        <v/>
      </c>
      <c r="E16" s="25">
        <f>(E5*'Variable Cost Model'!$B$42*'Variable Cost Model'!$B$43)*'Variable Cost Model'!$B$44 + (E5*'Variable Cost Model'!$B$42)*'Variable Cost Model'!$B$45</f>
        <v/>
      </c>
      <c r="F16" s="2" t="inlineStr">
        <is>
          <t>2.9% × gross + $0.30 × txns</t>
        </is>
      </c>
    </row>
    <row r="17">
      <c r="A17" s="8" t="inlineStr">
        <is>
          <t>TOTAL MONTHLY COST</t>
        </is>
      </c>
      <c r="B17" s="21">
        <f>SUM(B13:B16)</f>
        <v/>
      </c>
      <c r="C17" s="21">
        <f>SUM(C13:C16)</f>
        <v/>
      </c>
      <c r="D17" s="21">
        <f>SUM(D13:D16)</f>
        <v/>
      </c>
      <c r="E17" s="21">
        <f>SUM(E13:E16)</f>
        <v/>
      </c>
    </row>
    <row r="19">
      <c r="A19" s="11" t="inlineStr">
        <is>
          <t>DONATION REVENUE</t>
        </is>
      </c>
    </row>
    <row r="20">
      <c r="A20" s="5" t="inlineStr">
        <is>
          <t>Donating users</t>
        </is>
      </c>
      <c r="B20" s="28">
        <f>ROUND(B5*'Variable Cost Model'!$B$42,0)</f>
        <v/>
      </c>
      <c r="C20" s="28">
        <f>ROUND(C5*'Variable Cost Model'!$B$42,0)</f>
        <v/>
      </c>
      <c r="D20" s="28">
        <f>ROUND(D5*'Variable Cost Model'!$B$42,0)</f>
        <v/>
      </c>
      <c r="E20" s="28">
        <f>ROUND(E5*'Variable Cost Model'!$B$42,0)</f>
        <v/>
      </c>
    </row>
    <row r="21">
      <c r="A21" s="5" t="inlineStr">
        <is>
          <t>Gross donations</t>
        </is>
      </c>
      <c r="B21" s="25">
        <f>B20*'Variable Cost Model'!$B$43</f>
        <v/>
      </c>
      <c r="C21" s="25">
        <f>C20*'Variable Cost Model'!$B$43</f>
        <v/>
      </c>
      <c r="D21" s="25">
        <f>D20*'Variable Cost Model'!$B$43</f>
        <v/>
      </c>
      <c r="E21" s="25">
        <f>E20*'Variable Cost Model'!$B$43</f>
        <v/>
      </c>
    </row>
    <row r="22">
      <c r="A22" s="5" t="inlineStr">
        <is>
          <t>Net donations (after Stripe)</t>
        </is>
      </c>
      <c r="B22" s="24">
        <f>B21-B16</f>
        <v/>
      </c>
      <c r="C22" s="24">
        <f>C21-C16</f>
        <v/>
      </c>
      <c r="D22" s="24">
        <f>D21-D16</f>
        <v/>
      </c>
      <c r="E22" s="24">
        <f>E21-E16</f>
        <v/>
      </c>
    </row>
    <row r="24">
      <c r="A24" s="11" t="inlineStr">
        <is>
          <t>NET POSITION</t>
        </is>
      </c>
    </row>
    <row r="25">
      <c r="A25" s="8" t="inlineStr">
        <is>
          <t>NET MONTHLY (cost − net donations)</t>
        </is>
      </c>
      <c r="B25" s="21">
        <f>B17-B22</f>
        <v/>
      </c>
      <c r="C25" s="21">
        <f>C17-C22</f>
        <v/>
      </c>
      <c r="D25" s="21">
        <f>D17-D22</f>
        <v/>
      </c>
      <c r="E25" s="21">
        <f>E17-E22</f>
        <v/>
      </c>
    </row>
    <row r="26">
      <c r="A26" s="5" t="inlineStr">
        <is>
          <t>Cost per MAU</t>
        </is>
      </c>
      <c r="B26" s="26">
        <f>IF(B5&gt;0, B17/B5, 0)</f>
        <v/>
      </c>
      <c r="C26" s="26">
        <f>IF(C5&gt;0, C17/C5, 0)</f>
        <v/>
      </c>
      <c r="D26" s="26">
        <f>IF(D5&gt;0, D17/D5, 0)</f>
        <v/>
      </c>
      <c r="E26" s="26">
        <f>IF(E5&gt;0, E17/E5, 0)</f>
        <v/>
      </c>
    </row>
    <row r="27">
      <c r="A27" s="5" t="inlineStr">
        <is>
          <t>Annualized total cost</t>
        </is>
      </c>
      <c r="B27" s="24">
        <f>B17*12</f>
        <v/>
      </c>
      <c r="C27" s="24">
        <f>C17*12</f>
        <v/>
      </c>
      <c r="D27" s="24">
        <f>D17*12</f>
        <v/>
      </c>
      <c r="E27" s="24">
        <f>E17*12</f>
        <v/>
      </c>
    </row>
    <row r="28">
      <c r="A28" s="8" t="inlineStr">
        <is>
          <t>Annualized net</t>
        </is>
      </c>
      <c r="B28" s="21">
        <f>B25*12</f>
        <v/>
      </c>
      <c r="C28" s="21">
        <f>C25*12</f>
        <v/>
      </c>
      <c r="D28" s="21">
        <f>D25*12</f>
        <v/>
      </c>
      <c r="E28" s="21">
        <f>E25*12</f>
        <v/>
      </c>
    </row>
    <row r="30">
      <c r="A30" s="11" t="inlineStr">
        <is>
          <t>QUICK READ</t>
        </is>
      </c>
    </row>
    <row r="31">
      <c r="A31" s="2" t="inlineStr">
        <is>
          <t>→ Anthropic API is the dominant variable cost. Claude pricing &amp; token volume drive everything.</t>
        </is>
      </c>
    </row>
    <row r="32">
      <c r="A32" s="2" t="inlineStr">
        <is>
          <t>→ Supabase Free covers small scale; Pro ($25/mo) kicks in around 8-10K MAU based on EF invocations.</t>
        </is>
      </c>
    </row>
    <row r="33">
      <c r="A33" s="2" t="inlineStr">
        <is>
          <t>→ Donations only need to convert ~0.3% of MAU @ $25 avg to fully cover Claude costs at most scales.</t>
        </is>
      </c>
    </row>
    <row r="34">
      <c r="A34" s="2" t="inlineStr">
        <is>
          <t>→ Enabling prompt caching (set B22=1 in 'Variable Cost Model') trims ~10% off per-chat cost.</t>
        </is>
      </c>
    </row>
  </sheetData>
  <mergeCells count="11">
    <mergeCell ref="A24:F24"/>
    <mergeCell ref="A2:F2"/>
    <mergeCell ref="A33:F33"/>
    <mergeCell ref="A19:F19"/>
    <mergeCell ref="A1:F1"/>
    <mergeCell ref="A32:F32"/>
    <mergeCell ref="A31:F31"/>
    <mergeCell ref="A34:F34"/>
    <mergeCell ref="A12:F12"/>
    <mergeCell ref="A30:F30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2026-05-01T19:20:08Z</dcterms:created>
  <dcterms:modified xmlns:dcterms="http://purl.org/dc/terms/" xmlns:xsi="http://www.w3.org/2001/XMLSchema-instance" xsi:type="dcterms:W3CDTF">2026-05-01T19:24:26Z</dcterms:modified>
</cp:coreProperties>
</file>